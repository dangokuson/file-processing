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3995" windowHeight="7380"/>
  </bookViews>
  <sheets>
    <sheet name="2015.11" sheetId="1" r:id="rId1"/>
  </sheets>
  <calcPr calcId="125725"/>
</workbook>
</file>

<file path=xl/calcChain.xml><?xml version="1.0" encoding="utf-8"?>
<calcChain xmlns="http://schemas.openxmlformats.org/spreadsheetml/2006/main">
  <c r="H48" i="1"/>
  <c r="I48" s="1"/>
  <c r="H49"/>
  <c r="I49" s="1"/>
  <c r="H50"/>
  <c r="I50" s="1"/>
  <c r="H51"/>
  <c r="I51" s="1"/>
  <c r="H52"/>
  <c r="I52" s="1"/>
  <c r="D49"/>
  <c r="E49" s="1"/>
  <c r="D50"/>
  <c r="E50" s="1"/>
  <c r="D51"/>
  <c r="E51" s="1"/>
  <c r="D52"/>
  <c r="E52" s="1"/>
  <c r="D48"/>
  <c r="E48" s="1"/>
  <c r="H47" l="1"/>
  <c r="I47" s="1"/>
  <c r="D47"/>
  <c r="E47" s="1"/>
</calcChain>
</file>

<file path=xl/sharedStrings.xml><?xml version="1.0" encoding="utf-8"?>
<sst xmlns="http://schemas.openxmlformats.org/spreadsheetml/2006/main" count="77" uniqueCount="57">
  <si>
    <t>행정기관 : 전 국</t>
  </si>
  <si>
    <t>행정기관</t>
  </si>
  <si>
    <t>인 구 수</t>
  </si>
  <si>
    <t>계</t>
  </si>
  <si>
    <t>남</t>
  </si>
  <si>
    <t>여</t>
  </si>
  <si>
    <t>구 성 비</t>
  </si>
  <si>
    <t>지역</t>
  </si>
  <si>
    <t>남자</t>
  </si>
  <si>
    <t>여자</t>
  </si>
  <si>
    <t>성 비</t>
  </si>
  <si>
    <t>세대수</t>
  </si>
  <si>
    <t>세대당인구</t>
  </si>
  <si>
    <t xml:space="preserve">서울특별시      </t>
  </si>
  <si>
    <t xml:space="preserve">부산광역시      </t>
  </si>
  <si>
    <t xml:space="preserve">대구광역시      </t>
  </si>
  <si>
    <t xml:space="preserve">인천광역시      </t>
  </si>
  <si>
    <t xml:space="preserve">광주광역시      </t>
  </si>
  <si>
    <t xml:space="preserve">대전광역시      </t>
  </si>
  <si>
    <t xml:space="preserve">울산광역시      </t>
  </si>
  <si>
    <t xml:space="preserve">세종특별자치시  </t>
  </si>
  <si>
    <t xml:space="preserve">경기도          </t>
  </si>
  <si>
    <t xml:space="preserve">강원도          </t>
  </si>
  <si>
    <t xml:space="preserve">충청북도        </t>
  </si>
  <si>
    <t xml:space="preserve">충청남도        </t>
  </si>
  <si>
    <t xml:space="preserve">전라북도        </t>
  </si>
  <si>
    <t xml:space="preserve">전라남도        </t>
  </si>
  <si>
    <t xml:space="preserve">경상북도        </t>
  </si>
  <si>
    <t xml:space="preserve">경상남도        </t>
  </si>
  <si>
    <t xml:space="preserve">제주특별자치도  </t>
  </si>
  <si>
    <t>행정기관 : 대전광역시</t>
  </si>
  <si>
    <t xml:space="preserve">동구            </t>
  </si>
  <si>
    <t xml:space="preserve">중구            </t>
  </si>
  <si>
    <t xml:space="preserve">서구            </t>
  </si>
  <si>
    <t xml:space="preserve">유성구          </t>
  </si>
  <si>
    <t xml:space="preserve">대덕구          </t>
  </si>
  <si>
    <t>행정기관 : 대전광역시</t>
    <phoneticPr fontId="4" type="noConversion"/>
  </si>
  <si>
    <t>세 대 수</t>
  </si>
  <si>
    <t>증감</t>
  </si>
  <si>
    <t>증감비율</t>
  </si>
  <si>
    <t>합 계</t>
  </si>
  <si>
    <t>동 구</t>
  </si>
  <si>
    <t>중 구</t>
  </si>
  <si>
    <t>서 구</t>
  </si>
  <si>
    <t>유성구</t>
  </si>
  <si>
    <t>대덕구</t>
  </si>
  <si>
    <t>행정기관</t>
    <phoneticPr fontId="4" type="noConversion"/>
  </si>
  <si>
    <t>'15. 10월</t>
    <phoneticPr fontId="9" type="noConversion"/>
  </si>
  <si>
    <t>작성기준 : 2015.11 현재</t>
  </si>
  <si>
    <t>출력일자 : 2015.12.01</t>
  </si>
  <si>
    <t>합   계</t>
    <phoneticPr fontId="4" type="noConversion"/>
  </si>
  <si>
    <t>전월대비 인구 및 세대 증감현황 ( 2015년 11월 )</t>
    <phoneticPr fontId="9" type="noConversion"/>
  </si>
  <si>
    <t>작성기준 : 2015.11 현재</t>
    <phoneticPr fontId="9" type="noConversion"/>
  </si>
  <si>
    <t>출력일자 : 2015.12.01</t>
    <phoneticPr fontId="4" type="noConversion"/>
  </si>
  <si>
    <t>'15. 11월</t>
    <phoneticPr fontId="9" type="noConversion"/>
  </si>
  <si>
    <t>인구 및 세대현황 ( 2015년 11월 )</t>
    <phoneticPr fontId="4" type="noConversion"/>
  </si>
  <si>
    <t>* 11월 출생현황 : 1,116명(남자: 552, 여자: 564)</t>
    <phoneticPr fontId="4" type="noConversion"/>
  </si>
</sst>
</file>

<file path=xl/styles.xml><?xml version="1.0" encoding="utf-8"?>
<styleSheet xmlns="http://schemas.openxmlformats.org/spreadsheetml/2006/main">
  <numFmts count="2">
    <numFmt numFmtId="176" formatCode="#,##0\ "/>
    <numFmt numFmtId="177" formatCode="#,##0.00\ 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b/>
      <sz val="18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12"/>
      <color theme="1"/>
      <name val="굴림체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체"/>
      <family val="3"/>
      <charset val="129"/>
    </font>
    <font>
      <b/>
      <sz val="20"/>
      <name val="바탕체"/>
      <family val="1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b/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76" fontId="5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5" fillId="0" borderId="1" xfId="0" applyFont="1" applyBorder="1">
      <alignment vertical="center"/>
    </xf>
    <xf numFmtId="176" fontId="13" fillId="2" borderId="1" xfId="0" applyNumberFormat="1" applyFont="1" applyFill="1" applyBorder="1">
      <alignment vertical="center"/>
    </xf>
    <xf numFmtId="0" fontId="14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right" vertical="center" indent="1"/>
    </xf>
    <xf numFmtId="10" fontId="13" fillId="2" borderId="1" xfId="1" applyNumberFormat="1" applyFont="1" applyFill="1" applyBorder="1" applyAlignment="1">
      <alignment horizontal="right" vertical="center" indent="1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 indent="1"/>
    </xf>
    <xf numFmtId="10" fontId="7" fillId="0" borderId="1" xfId="1" applyNumberFormat="1" applyFont="1" applyFill="1" applyBorder="1" applyAlignment="1">
      <alignment horizontal="right" vertical="center" indent="1"/>
    </xf>
    <xf numFmtId="10" fontId="12" fillId="0" borderId="1" xfId="1" applyNumberFormat="1" applyFont="1" applyBorder="1" applyAlignment="1">
      <alignment horizontal="right" vertical="center" indent="1"/>
    </xf>
    <xf numFmtId="10" fontId="12" fillId="0" borderId="1" xfId="1" applyNumberFormat="1" applyFont="1" applyFill="1" applyBorder="1" applyAlignment="1">
      <alignment horizontal="right" vertical="center" indent="1"/>
    </xf>
    <xf numFmtId="0" fontId="7" fillId="2" borderId="1" xfId="0" applyFont="1" applyFill="1" applyBorder="1">
      <alignment vertical="center"/>
    </xf>
    <xf numFmtId="176" fontId="7" fillId="2" borderId="1" xfId="0" applyNumberFormat="1" applyFont="1" applyFill="1" applyBorder="1">
      <alignment vertical="center"/>
    </xf>
    <xf numFmtId="177" fontId="7" fillId="2" borderId="1" xfId="0" applyNumberFormat="1" applyFont="1" applyFill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9"/>
  <sheetViews>
    <sheetView tabSelected="1" topLeftCell="A34" workbookViewId="0">
      <selection activeCell="J45" sqref="J45"/>
    </sheetView>
  </sheetViews>
  <sheetFormatPr defaultRowHeight="16.5"/>
  <cols>
    <col min="1" max="1" width="16.125" bestFit="1" customWidth="1"/>
    <col min="2" max="4" width="14" customWidth="1"/>
    <col min="5" max="10" width="12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>
      <c r="A2" s="35" t="s">
        <v>55</v>
      </c>
      <c r="B2" s="36"/>
      <c r="C2" s="36"/>
      <c r="D2" s="36"/>
      <c r="E2" s="36"/>
      <c r="F2" s="36"/>
      <c r="G2" s="36"/>
      <c r="H2" s="36"/>
      <c r="I2" s="36"/>
      <c r="J2" s="3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3" customFormat="1" ht="25.5" customHeight="1">
      <c r="A4" s="33" t="s">
        <v>0</v>
      </c>
      <c r="B4" s="33"/>
      <c r="C4" s="3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3" customFormat="1" ht="25.5" customHeight="1">
      <c r="A5" s="33" t="s">
        <v>48</v>
      </c>
      <c r="B5" s="33"/>
      <c r="C5" s="33"/>
      <c r="D5" s="2"/>
      <c r="E5" s="2"/>
      <c r="F5" s="2"/>
      <c r="G5" s="2"/>
      <c r="H5" s="34" t="s">
        <v>49</v>
      </c>
      <c r="I5" s="34"/>
      <c r="J5" s="3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3" customFormat="1" ht="25.5" customHeight="1">
      <c r="A6" s="24" t="s">
        <v>1</v>
      </c>
      <c r="B6" s="37" t="s">
        <v>2</v>
      </c>
      <c r="C6" s="38"/>
      <c r="D6" s="39"/>
      <c r="E6" s="37" t="s">
        <v>6</v>
      </c>
      <c r="F6" s="38"/>
      <c r="G6" s="39"/>
      <c r="H6" s="24" t="s">
        <v>10</v>
      </c>
      <c r="I6" s="24" t="s">
        <v>11</v>
      </c>
      <c r="J6" s="24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3" customFormat="1" ht="25.5" customHeight="1">
      <c r="A7" s="25"/>
      <c r="B7" s="4" t="s">
        <v>3</v>
      </c>
      <c r="C7" s="4" t="s">
        <v>4</v>
      </c>
      <c r="D7" s="4" t="s">
        <v>5</v>
      </c>
      <c r="E7" s="4" t="s">
        <v>7</v>
      </c>
      <c r="F7" s="4" t="s">
        <v>8</v>
      </c>
      <c r="G7" s="4" t="s">
        <v>9</v>
      </c>
      <c r="H7" s="25"/>
      <c r="I7" s="25"/>
      <c r="J7" s="2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3" customFormat="1" ht="25.5" customHeight="1">
      <c r="A8" s="9" t="s">
        <v>50</v>
      </c>
      <c r="B8" s="5">
        <v>51515399</v>
      </c>
      <c r="C8" s="5">
        <v>25752345</v>
      </c>
      <c r="D8" s="5">
        <v>25763054</v>
      </c>
      <c r="E8" s="6">
        <v>100</v>
      </c>
      <c r="F8" s="6">
        <v>49.989606020522103</v>
      </c>
      <c r="G8" s="6">
        <v>50.010393979477897</v>
      </c>
      <c r="H8" s="6">
        <v>99.958432723076996</v>
      </c>
      <c r="I8" s="5">
        <v>20988782</v>
      </c>
      <c r="J8" s="6">
        <v>2.4544253687517501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25.5" customHeight="1">
      <c r="A9" s="9" t="s">
        <v>13</v>
      </c>
      <c r="B9" s="5">
        <v>10035597</v>
      </c>
      <c r="C9" s="5">
        <v>4938482</v>
      </c>
      <c r="D9" s="5">
        <v>5097115</v>
      </c>
      <c r="E9" s="6">
        <v>19.4807711767893</v>
      </c>
      <c r="F9" s="6">
        <v>9.5864190045388202</v>
      </c>
      <c r="G9" s="6">
        <v>9.8943521722504801</v>
      </c>
      <c r="H9" s="6">
        <v>96.887788484270004</v>
      </c>
      <c r="I9" s="5">
        <v>4192412</v>
      </c>
      <c r="J9" s="6">
        <v>2.3937525701195401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3" customFormat="1" ht="25.5" customHeight="1">
      <c r="A10" s="9" t="s">
        <v>14</v>
      </c>
      <c r="B10" s="5">
        <v>3514842</v>
      </c>
      <c r="C10" s="5">
        <v>1736279</v>
      </c>
      <c r="D10" s="5">
        <v>1778563</v>
      </c>
      <c r="E10" s="6">
        <v>6.8228958102411301</v>
      </c>
      <c r="F10" s="6">
        <v>3.37040774934112</v>
      </c>
      <c r="G10" s="6">
        <v>3.4524880608999999</v>
      </c>
      <c r="H10" s="6">
        <v>97.6225750788699</v>
      </c>
      <c r="I10" s="5">
        <v>1436851</v>
      </c>
      <c r="J10" s="6">
        <v>2.44621188975057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3" customFormat="1" ht="25.5" customHeight="1">
      <c r="A11" s="9" t="s">
        <v>15</v>
      </c>
      <c r="B11" s="5">
        <v>2489339</v>
      </c>
      <c r="C11" s="5">
        <v>1238044</v>
      </c>
      <c r="D11" s="5">
        <v>1251295</v>
      </c>
      <c r="E11" s="6">
        <v>4.8322230795494798</v>
      </c>
      <c r="F11" s="6">
        <v>2.40325033685559</v>
      </c>
      <c r="G11" s="6">
        <v>2.4289727426938899</v>
      </c>
      <c r="H11" s="6">
        <v>98.941017106277897</v>
      </c>
      <c r="I11" s="5">
        <v>981816</v>
      </c>
      <c r="J11" s="6">
        <v>2.5354435046892698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3" customFormat="1" ht="25.5" customHeight="1">
      <c r="A12" s="9" t="s">
        <v>16</v>
      </c>
      <c r="B12" s="5">
        <v>2924578</v>
      </c>
      <c r="C12" s="5">
        <v>1469254</v>
      </c>
      <c r="D12" s="5">
        <v>1455324</v>
      </c>
      <c r="E12" s="6">
        <v>5.6770947265690399</v>
      </c>
      <c r="F12" s="6">
        <v>2.8520675924494001</v>
      </c>
      <c r="G12" s="6">
        <v>2.8250271341196398</v>
      </c>
      <c r="H12" s="6">
        <v>100.95717517198899</v>
      </c>
      <c r="I12" s="5">
        <v>1152662</v>
      </c>
      <c r="J12" s="6">
        <v>2.5372381496049998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3" customFormat="1" ht="25.5" customHeight="1">
      <c r="A13" s="9" t="s">
        <v>17</v>
      </c>
      <c r="B13" s="5">
        <v>1474910</v>
      </c>
      <c r="C13" s="5">
        <v>730814</v>
      </c>
      <c r="D13" s="5">
        <v>744096</v>
      </c>
      <c r="E13" s="6">
        <v>2.8630468338214801</v>
      </c>
      <c r="F13" s="6">
        <v>1.4186321259008401</v>
      </c>
      <c r="G13" s="6">
        <v>1.44441470792064</v>
      </c>
      <c r="H13" s="6">
        <v>98.215015266847303</v>
      </c>
      <c r="I13" s="5">
        <v>580347</v>
      </c>
      <c r="J13" s="6">
        <v>2.5414278009535698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3" customFormat="1" ht="25.5" customHeight="1">
      <c r="A14" s="21" t="s">
        <v>18</v>
      </c>
      <c r="B14" s="22">
        <v>1521142</v>
      </c>
      <c r="C14" s="22">
        <v>760818</v>
      </c>
      <c r="D14" s="22">
        <v>760324</v>
      </c>
      <c r="E14" s="23">
        <v>2.95279087326879</v>
      </c>
      <c r="F14" s="23">
        <v>1.47687490491921</v>
      </c>
      <c r="G14" s="23">
        <v>1.4759159683495799</v>
      </c>
      <c r="H14" s="23">
        <v>100.064972301282</v>
      </c>
      <c r="I14" s="22">
        <v>596962</v>
      </c>
      <c r="J14" s="23">
        <v>2.5481387424995199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3" customFormat="1" ht="25.5" customHeight="1">
      <c r="A15" s="9" t="s">
        <v>19</v>
      </c>
      <c r="B15" s="5">
        <v>1174051</v>
      </c>
      <c r="C15" s="5">
        <v>605128</v>
      </c>
      <c r="D15" s="5">
        <v>568923</v>
      </c>
      <c r="E15" s="6">
        <v>2.2790292277460602</v>
      </c>
      <c r="F15" s="6">
        <v>1.17465459211526</v>
      </c>
      <c r="G15" s="6">
        <v>1.10437463563079</v>
      </c>
      <c r="H15" s="6">
        <v>106.36377857812001</v>
      </c>
      <c r="I15" s="5">
        <v>451621</v>
      </c>
      <c r="J15" s="6">
        <v>2.5996377493517802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3" customFormat="1" ht="25.5" customHeight="1">
      <c r="A16" s="9" t="s">
        <v>20</v>
      </c>
      <c r="B16" s="5">
        <v>206044</v>
      </c>
      <c r="C16" s="5">
        <v>103384</v>
      </c>
      <c r="D16" s="5">
        <v>102660</v>
      </c>
      <c r="E16" s="6">
        <v>0.39996584322291701</v>
      </c>
      <c r="F16" s="6">
        <v>0.20068562411794599</v>
      </c>
      <c r="G16" s="6">
        <v>0.19928021910497101</v>
      </c>
      <c r="H16" s="6">
        <v>100.70524060003901</v>
      </c>
      <c r="I16" s="5">
        <v>80222</v>
      </c>
      <c r="J16" s="6">
        <v>2.5684226272094901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3" customFormat="1" ht="25.5" customHeight="1">
      <c r="A17" s="9" t="s">
        <v>21</v>
      </c>
      <c r="B17" s="5">
        <v>12504790</v>
      </c>
      <c r="C17" s="5">
        <v>6291542</v>
      </c>
      <c r="D17" s="5">
        <v>6213248</v>
      </c>
      <c r="E17" s="6">
        <v>24.273887503035699</v>
      </c>
      <c r="F17" s="6">
        <v>12.2129346217429</v>
      </c>
      <c r="G17" s="6">
        <v>12.060952881292801</v>
      </c>
      <c r="H17" s="6">
        <v>101.260113872809</v>
      </c>
      <c r="I17" s="5">
        <v>4875733</v>
      </c>
      <c r="J17" s="6">
        <v>2.5646995026183799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3" customFormat="1" ht="25.5" customHeight="1">
      <c r="A18" s="9" t="s">
        <v>22</v>
      </c>
      <c r="B18" s="5">
        <v>1549178</v>
      </c>
      <c r="C18" s="5">
        <v>781285</v>
      </c>
      <c r="D18" s="5">
        <v>767893</v>
      </c>
      <c r="E18" s="6">
        <v>3.0072134353458102</v>
      </c>
      <c r="F18" s="6">
        <v>1.5166047728757801</v>
      </c>
      <c r="G18" s="6">
        <v>1.4906086624700301</v>
      </c>
      <c r="H18" s="6">
        <v>101.743992978188</v>
      </c>
      <c r="I18" s="5">
        <v>684390</v>
      </c>
      <c r="J18" s="6">
        <v>2.26358947383802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3" customFormat="1" ht="25.5" customHeight="1">
      <c r="A19" s="9" t="s">
        <v>23</v>
      </c>
      <c r="B19" s="5">
        <v>1583053</v>
      </c>
      <c r="C19" s="5">
        <v>798498</v>
      </c>
      <c r="D19" s="5">
        <v>784555</v>
      </c>
      <c r="E19" s="6">
        <v>3.07297047238244</v>
      </c>
      <c r="F19" s="6">
        <v>1.5500180829425401</v>
      </c>
      <c r="G19" s="6">
        <v>1.5229523894399</v>
      </c>
      <c r="H19" s="6">
        <v>101.77718579322</v>
      </c>
      <c r="I19" s="5">
        <v>668138</v>
      </c>
      <c r="J19" s="6">
        <v>2.36935034379125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3" customFormat="1" ht="25.5" customHeight="1">
      <c r="A20" s="9" t="s">
        <v>24</v>
      </c>
      <c r="B20" s="5">
        <v>2074956</v>
      </c>
      <c r="C20" s="5">
        <v>1053086</v>
      </c>
      <c r="D20" s="5">
        <v>1021870</v>
      </c>
      <c r="E20" s="6">
        <v>4.02783641450588</v>
      </c>
      <c r="F20" s="6">
        <v>2.0442159440519898</v>
      </c>
      <c r="G20" s="6">
        <v>1.98362047045389</v>
      </c>
      <c r="H20" s="6">
        <v>103.05479170540301</v>
      </c>
      <c r="I20" s="5">
        <v>884328</v>
      </c>
      <c r="J20" s="6">
        <v>2.3463646972616501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3" customFormat="1" ht="25.5" customHeight="1">
      <c r="A21" s="9" t="s">
        <v>25</v>
      </c>
      <c r="B21" s="5">
        <v>1869654</v>
      </c>
      <c r="C21" s="5">
        <v>930163</v>
      </c>
      <c r="D21" s="5">
        <v>939491</v>
      </c>
      <c r="E21" s="6">
        <v>3.6293109173045499</v>
      </c>
      <c r="F21" s="6">
        <v>1.80560185508803</v>
      </c>
      <c r="G21" s="6">
        <v>1.82370906221652</v>
      </c>
      <c r="H21" s="6">
        <v>99.007121941562005</v>
      </c>
      <c r="I21" s="5">
        <v>782251</v>
      </c>
      <c r="J21" s="6">
        <v>2.39009473941229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3" customFormat="1" ht="25.5" customHeight="1">
      <c r="A22" s="9" t="s">
        <v>26</v>
      </c>
      <c r="B22" s="5">
        <v>1905373</v>
      </c>
      <c r="C22" s="5">
        <v>952039</v>
      </c>
      <c r="D22" s="5">
        <v>953334</v>
      </c>
      <c r="E22" s="6">
        <v>3.6986474665565501</v>
      </c>
      <c r="F22" s="6">
        <v>1.8480668275518899</v>
      </c>
      <c r="G22" s="6">
        <v>1.85058063900466</v>
      </c>
      <c r="H22" s="6">
        <v>99.864160934153205</v>
      </c>
      <c r="I22" s="5">
        <v>831984</v>
      </c>
      <c r="J22" s="6">
        <v>2.29015582030424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s="3" customFormat="1" ht="25.5" customHeight="1">
      <c r="A23" s="9" t="s">
        <v>27</v>
      </c>
      <c r="B23" s="5">
        <v>2702186</v>
      </c>
      <c r="C23" s="5">
        <v>1356986</v>
      </c>
      <c r="D23" s="5">
        <v>1345200</v>
      </c>
      <c r="E23" s="6">
        <v>5.2453946828597804</v>
      </c>
      <c r="F23" s="6">
        <v>2.6341366394153298</v>
      </c>
      <c r="G23" s="6">
        <v>2.6112580434444501</v>
      </c>
      <c r="H23" s="6">
        <v>100.876152245019</v>
      </c>
      <c r="I23" s="5">
        <v>1167936</v>
      </c>
      <c r="J23" s="6">
        <v>2.3136421858732001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s="3" customFormat="1" ht="25.5" customHeight="1">
      <c r="A24" s="9" t="s">
        <v>28</v>
      </c>
      <c r="B24" s="5">
        <v>3362754</v>
      </c>
      <c r="C24" s="5">
        <v>1693925</v>
      </c>
      <c r="D24" s="5">
        <v>1668829</v>
      </c>
      <c r="E24" s="6">
        <v>6.5276675814934499</v>
      </c>
      <c r="F24" s="6">
        <v>3.28819155608209</v>
      </c>
      <c r="G24" s="6">
        <v>3.2394760254113502</v>
      </c>
      <c r="H24" s="6">
        <v>101.50380895825801</v>
      </c>
      <c r="I24" s="5">
        <v>1365053</v>
      </c>
      <c r="J24" s="6">
        <v>2.46346039311294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s="3" customFormat="1" ht="25.5" customHeight="1">
      <c r="A25" s="9" t="s">
        <v>29</v>
      </c>
      <c r="B25" s="5">
        <v>622952</v>
      </c>
      <c r="C25" s="5">
        <v>312618</v>
      </c>
      <c r="D25" s="5">
        <v>310334</v>
      </c>
      <c r="E25" s="6">
        <v>1.20925395530762</v>
      </c>
      <c r="F25" s="6">
        <v>0.60684379053338999</v>
      </c>
      <c r="G25" s="6">
        <v>0.60241016477422604</v>
      </c>
      <c r="H25" s="6">
        <v>100.735981233123</v>
      </c>
      <c r="I25" s="5">
        <v>256076</v>
      </c>
      <c r="J25" s="6">
        <v>2.43268404692357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3" customFormat="1" ht="22.5" customHeight="1">
      <c r="A29" s="33" t="s">
        <v>30</v>
      </c>
      <c r="B29" s="33"/>
      <c r="C29" s="3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s="3" customFormat="1" ht="22.5" customHeight="1">
      <c r="A30" s="33" t="s">
        <v>48</v>
      </c>
      <c r="B30" s="33"/>
      <c r="C30" s="33"/>
      <c r="D30" s="2"/>
      <c r="E30" s="2"/>
      <c r="F30" s="2"/>
      <c r="G30" s="2"/>
      <c r="H30" s="34" t="s">
        <v>49</v>
      </c>
      <c r="I30" s="34"/>
      <c r="J30" s="3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3" customFormat="1" ht="22.5" customHeight="1">
      <c r="A31" s="24" t="s">
        <v>1</v>
      </c>
      <c r="B31" s="37" t="s">
        <v>2</v>
      </c>
      <c r="C31" s="38"/>
      <c r="D31" s="39"/>
      <c r="E31" s="37" t="s">
        <v>6</v>
      </c>
      <c r="F31" s="38"/>
      <c r="G31" s="39"/>
      <c r="H31" s="24" t="s">
        <v>10</v>
      </c>
      <c r="I31" s="24" t="s">
        <v>11</v>
      </c>
      <c r="J31" s="24" t="s">
        <v>12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s="3" customFormat="1" ht="22.5" customHeight="1">
      <c r="A32" s="25"/>
      <c r="B32" s="4" t="s">
        <v>3</v>
      </c>
      <c r="C32" s="4" t="s">
        <v>4</v>
      </c>
      <c r="D32" s="4" t="s">
        <v>5</v>
      </c>
      <c r="E32" s="4" t="s">
        <v>7</v>
      </c>
      <c r="F32" s="4" t="s">
        <v>8</v>
      </c>
      <c r="G32" s="4" t="s">
        <v>9</v>
      </c>
      <c r="H32" s="25"/>
      <c r="I32" s="25"/>
      <c r="J32" s="2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s="3" customFormat="1" ht="22.5" customHeight="1">
      <c r="A33" s="9" t="s">
        <v>50</v>
      </c>
      <c r="B33" s="5">
        <v>1521142</v>
      </c>
      <c r="C33" s="5">
        <v>760818</v>
      </c>
      <c r="D33" s="5">
        <v>760324</v>
      </c>
      <c r="E33" s="6">
        <v>100</v>
      </c>
      <c r="F33" s="6">
        <v>50.016237800284301</v>
      </c>
      <c r="G33" s="6">
        <v>49.983762199715699</v>
      </c>
      <c r="H33" s="6">
        <v>100.064972301282</v>
      </c>
      <c r="I33" s="5">
        <v>596962</v>
      </c>
      <c r="J33" s="6">
        <v>2.5481387424995199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3" customFormat="1" ht="22.5" customHeight="1">
      <c r="A34" s="9" t="s">
        <v>31</v>
      </c>
      <c r="B34" s="5">
        <v>240264</v>
      </c>
      <c r="C34" s="5">
        <v>121570</v>
      </c>
      <c r="D34" s="5">
        <v>118694</v>
      </c>
      <c r="E34" s="6">
        <v>15.7949750910829</v>
      </c>
      <c r="F34" s="6">
        <v>7.9920217836336098</v>
      </c>
      <c r="G34" s="6">
        <v>7.8029533074492701</v>
      </c>
      <c r="H34" s="6">
        <v>102.423037390264</v>
      </c>
      <c r="I34" s="5">
        <v>100742</v>
      </c>
      <c r="J34" s="6">
        <v>2.3849437176152901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s="3" customFormat="1" ht="22.5" customHeight="1">
      <c r="A35" s="9" t="s">
        <v>32</v>
      </c>
      <c r="B35" s="5">
        <v>256729</v>
      </c>
      <c r="C35" s="5">
        <v>127758</v>
      </c>
      <c r="D35" s="5">
        <v>128971</v>
      </c>
      <c r="E35" s="6">
        <v>16.877385543230002</v>
      </c>
      <c r="F35" s="6">
        <v>8.3988214118077096</v>
      </c>
      <c r="G35" s="6">
        <v>8.4785641314223099</v>
      </c>
      <c r="H35" s="6">
        <v>99.059478487411894</v>
      </c>
      <c r="I35" s="5">
        <v>103328</v>
      </c>
      <c r="J35" s="6">
        <v>2.48460243109322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s="3" customFormat="1" ht="22.5" customHeight="1">
      <c r="A36" s="9" t="s">
        <v>33</v>
      </c>
      <c r="B36" s="5">
        <v>491762</v>
      </c>
      <c r="C36" s="5">
        <v>242230</v>
      </c>
      <c r="D36" s="5">
        <v>249532</v>
      </c>
      <c r="E36" s="6">
        <v>32.328474264730097</v>
      </c>
      <c r="F36" s="6">
        <v>15.9242200925357</v>
      </c>
      <c r="G36" s="6">
        <v>16.4042541721943</v>
      </c>
      <c r="H36" s="6">
        <v>97.073722007598207</v>
      </c>
      <c r="I36" s="5">
        <v>189069</v>
      </c>
      <c r="J36" s="6">
        <v>2.6009657849779702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s="3" customFormat="1" ht="22.5" customHeight="1">
      <c r="A37" s="9" t="s">
        <v>34</v>
      </c>
      <c r="B37" s="5">
        <v>335245</v>
      </c>
      <c r="C37" s="5">
        <v>169047</v>
      </c>
      <c r="D37" s="5">
        <v>166198</v>
      </c>
      <c r="E37" s="6">
        <v>22.039033831161099</v>
      </c>
      <c r="F37" s="6">
        <v>11.113163662564</v>
      </c>
      <c r="G37" s="6">
        <v>10.925870168596999</v>
      </c>
      <c r="H37" s="6">
        <v>101.71422038772999</v>
      </c>
      <c r="I37" s="5">
        <v>126759</v>
      </c>
      <c r="J37" s="6">
        <v>2.6447431740547001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s="3" customFormat="1" ht="22.5" customHeight="1">
      <c r="A38" s="9" t="s">
        <v>35</v>
      </c>
      <c r="B38" s="5">
        <v>197142</v>
      </c>
      <c r="C38" s="5">
        <v>100213</v>
      </c>
      <c r="D38" s="5">
        <v>96929</v>
      </c>
      <c r="E38" s="6">
        <v>12.960131269795999</v>
      </c>
      <c r="F38" s="6">
        <v>6.5880108497431502</v>
      </c>
      <c r="G38" s="6">
        <v>6.3721204200528296</v>
      </c>
      <c r="H38" s="6">
        <v>103.388046920942</v>
      </c>
      <c r="I38" s="5">
        <v>77064</v>
      </c>
      <c r="J38" s="6">
        <v>2.5581594518841499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9.25" customHeight="1">
      <c r="A39" s="32" t="s">
        <v>56</v>
      </c>
      <c r="B39" s="32"/>
      <c r="C39" s="32"/>
      <c r="D39" s="32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27" t="s">
        <v>51</v>
      </c>
      <c r="B41" s="27"/>
      <c r="C41" s="27"/>
      <c r="D41" s="27"/>
      <c r="E41" s="27"/>
      <c r="F41" s="27"/>
      <c r="G41" s="27"/>
      <c r="H41" s="27"/>
      <c r="I41" s="27"/>
      <c r="J41" s="2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25" customHeight="1">
      <c r="A43" s="29" t="s">
        <v>36</v>
      </c>
      <c r="B43" s="29"/>
      <c r="C43" s="29"/>
      <c r="D43" s="8"/>
      <c r="E43" s="8"/>
      <c r="F43" s="8"/>
      <c r="G43" s="8"/>
      <c r="H43" s="8"/>
      <c r="I43" s="8"/>
      <c r="J43" s="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25" customHeight="1">
      <c r="A44" s="30" t="s">
        <v>52</v>
      </c>
      <c r="B44" s="30"/>
      <c r="C44" s="30"/>
      <c r="D44" s="8"/>
      <c r="E44" s="8"/>
      <c r="F44" s="8"/>
      <c r="G44" s="8"/>
      <c r="H44" s="31" t="s">
        <v>53</v>
      </c>
      <c r="I44" s="31"/>
      <c r="J44" s="3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 customHeight="1">
      <c r="A45" s="26" t="s">
        <v>46</v>
      </c>
      <c r="B45" s="26" t="s">
        <v>2</v>
      </c>
      <c r="C45" s="26"/>
      <c r="D45" s="26"/>
      <c r="E45" s="26"/>
      <c r="F45" s="26" t="s">
        <v>37</v>
      </c>
      <c r="G45" s="26"/>
      <c r="H45" s="26"/>
      <c r="I45" s="26"/>
      <c r="J45" s="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 customHeight="1">
      <c r="A46" s="26"/>
      <c r="B46" s="11" t="s">
        <v>47</v>
      </c>
      <c r="C46" s="11" t="s">
        <v>54</v>
      </c>
      <c r="D46" s="12" t="s">
        <v>38</v>
      </c>
      <c r="E46" s="12" t="s">
        <v>39</v>
      </c>
      <c r="F46" s="11" t="s">
        <v>47</v>
      </c>
      <c r="G46" s="11" t="s">
        <v>54</v>
      </c>
      <c r="H46" s="12" t="s">
        <v>38</v>
      </c>
      <c r="I46" s="12" t="s">
        <v>39</v>
      </c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 customHeight="1">
      <c r="A47" s="13" t="s">
        <v>40</v>
      </c>
      <c r="B47" s="10">
        <v>1522288</v>
      </c>
      <c r="C47" s="10">
        <v>1521142</v>
      </c>
      <c r="D47" s="14">
        <f>SUM(D48:D52)</f>
        <v>-1146</v>
      </c>
      <c r="E47" s="15">
        <f>D47/C47</f>
        <v>-7.5338134112397132E-4</v>
      </c>
      <c r="F47" s="10">
        <v>596840</v>
      </c>
      <c r="G47" s="10">
        <v>596962</v>
      </c>
      <c r="H47" s="14">
        <f>SUM(H48:H52)</f>
        <v>122</v>
      </c>
      <c r="I47" s="15">
        <f>H47/G47</f>
        <v>2.0436811723359275E-4</v>
      </c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16" t="s">
        <v>41</v>
      </c>
      <c r="B48" s="5">
        <v>240837</v>
      </c>
      <c r="C48" s="5">
        <v>240264</v>
      </c>
      <c r="D48" s="17">
        <f>C48-B48</f>
        <v>-573</v>
      </c>
      <c r="E48" s="18">
        <f t="shared" ref="E48:E52" si="0">D48/C48</f>
        <v>-2.3848766357007292E-3</v>
      </c>
      <c r="F48" s="5">
        <v>100853</v>
      </c>
      <c r="G48" s="5">
        <v>100742</v>
      </c>
      <c r="H48" s="17">
        <f>G48-F48</f>
        <v>-111</v>
      </c>
      <c r="I48" s="19">
        <f>H48/G48</f>
        <v>-1.1018244624883366E-3</v>
      </c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 customHeight="1">
      <c r="A49" s="16" t="s">
        <v>42</v>
      </c>
      <c r="B49" s="5">
        <v>257076</v>
      </c>
      <c r="C49" s="5">
        <v>256729</v>
      </c>
      <c r="D49" s="17">
        <f t="shared" ref="D49:D52" si="1">C49-B49</f>
        <v>-347</v>
      </c>
      <c r="E49" s="18">
        <f t="shared" si="0"/>
        <v>-1.3516198014248489E-3</v>
      </c>
      <c r="F49" s="5">
        <v>103359</v>
      </c>
      <c r="G49" s="5">
        <v>103328</v>
      </c>
      <c r="H49" s="17">
        <f t="shared" ref="H49:H52" si="2">G49-F49</f>
        <v>-31</v>
      </c>
      <c r="I49" s="19">
        <f t="shared" ref="I49:I52" si="3">H49/G49</f>
        <v>-3.0001548467017654E-4</v>
      </c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 customHeight="1">
      <c r="A50" s="16" t="s">
        <v>43</v>
      </c>
      <c r="B50" s="5">
        <v>492447</v>
      </c>
      <c r="C50" s="5">
        <v>491762</v>
      </c>
      <c r="D50" s="17">
        <f t="shared" si="1"/>
        <v>-685</v>
      </c>
      <c r="E50" s="18">
        <f t="shared" si="0"/>
        <v>-1.3929502482908399E-3</v>
      </c>
      <c r="F50" s="5">
        <v>189165</v>
      </c>
      <c r="G50" s="5">
        <v>189069</v>
      </c>
      <c r="H50" s="17">
        <f t="shared" si="2"/>
        <v>-96</v>
      </c>
      <c r="I50" s="19">
        <f t="shared" si="3"/>
        <v>-5.0775113847325584E-4</v>
      </c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 customHeight="1">
      <c r="A51" s="16" t="s">
        <v>44</v>
      </c>
      <c r="B51" s="5">
        <v>334200</v>
      </c>
      <c r="C51" s="5">
        <v>335245</v>
      </c>
      <c r="D51" s="17">
        <f t="shared" si="1"/>
        <v>1045</v>
      </c>
      <c r="E51" s="18">
        <f t="shared" si="0"/>
        <v>3.1171232978866202E-3</v>
      </c>
      <c r="F51" s="5">
        <v>126316</v>
      </c>
      <c r="G51" s="5">
        <v>126759</v>
      </c>
      <c r="H51" s="17">
        <f t="shared" si="2"/>
        <v>443</v>
      </c>
      <c r="I51" s="19">
        <f t="shared" si="3"/>
        <v>3.494820880568638E-3</v>
      </c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>
      <c r="A52" s="16" t="s">
        <v>45</v>
      </c>
      <c r="B52" s="5">
        <v>197728</v>
      </c>
      <c r="C52" s="5">
        <v>197142</v>
      </c>
      <c r="D52" s="17">
        <f t="shared" si="1"/>
        <v>-586</v>
      </c>
      <c r="E52" s="20">
        <f t="shared" si="0"/>
        <v>-2.9724766919276462E-3</v>
      </c>
      <c r="F52" s="5">
        <v>77147</v>
      </c>
      <c r="G52" s="5">
        <v>77064</v>
      </c>
      <c r="H52" s="17">
        <f t="shared" si="2"/>
        <v>-83</v>
      </c>
      <c r="I52" s="19">
        <f t="shared" si="3"/>
        <v>-1.077026886743486E-3</v>
      </c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>
      <c r="A999" s="1"/>
      <c r="B999" s="1"/>
      <c r="C999" s="1"/>
      <c r="D999" s="1"/>
      <c r="E999" s="1"/>
      <c r="F999" s="1"/>
      <c r="G999" s="1"/>
      <c r="H999" s="1"/>
      <c r="I999" s="1"/>
      <c r="J999" s="1"/>
    </row>
  </sheetData>
  <mergeCells count="27">
    <mergeCell ref="A29:C29"/>
    <mergeCell ref="A30:C30"/>
    <mergeCell ref="H30:J30"/>
    <mergeCell ref="A31:A32"/>
    <mergeCell ref="A2:J2"/>
    <mergeCell ref="A4:C4"/>
    <mergeCell ref="A5:C5"/>
    <mergeCell ref="H5:J5"/>
    <mergeCell ref="A6:A7"/>
    <mergeCell ref="B6:D6"/>
    <mergeCell ref="E6:G6"/>
    <mergeCell ref="H6:H7"/>
    <mergeCell ref="I6:I7"/>
    <mergeCell ref="J6:J7"/>
    <mergeCell ref="B31:D31"/>
    <mergeCell ref="E31:G31"/>
    <mergeCell ref="H31:H32"/>
    <mergeCell ref="I31:I32"/>
    <mergeCell ref="A45:A46"/>
    <mergeCell ref="B45:E45"/>
    <mergeCell ref="F45:I45"/>
    <mergeCell ref="A41:J41"/>
    <mergeCell ref="A43:C43"/>
    <mergeCell ref="A44:C44"/>
    <mergeCell ref="H44:J44"/>
    <mergeCell ref="A39:J39"/>
    <mergeCell ref="J31:J3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2015.11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sec</cp:lastModifiedBy>
  <dcterms:created xsi:type="dcterms:W3CDTF">2014-11-03T04:19:04Z</dcterms:created>
  <dcterms:modified xsi:type="dcterms:W3CDTF">2015-12-01T01:33:58Z</dcterms:modified>
</cp:coreProperties>
</file>